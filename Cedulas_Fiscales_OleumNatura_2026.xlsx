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édula 1 - CU" sheetId="1" state="visible" r:id="rId1"/>
    <sheet name="Cédula 2 - Pagos Provisionales" sheetId="2" state="visible" r:id="rId2"/>
    <sheet name="Cédula 3 - Depreciaciones" sheetId="3" state="visible" r:id="rId3"/>
    <sheet name="Cédula 4 - Ajuste Inflación" sheetId="4" state="visible" r:id="rId4"/>
    <sheet name="Cédula 5 - PTU" sheetId="5" state="visible" r:id="rId5"/>
    <sheet name="Cédula 6 - ISR A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3B2407"/>
      <sz val="9"/>
    </font>
    <font>
      <name val="Calibri"/>
      <b val="1"/>
      <color rgb="00FFFFFF"/>
      <sz val="12"/>
    </font>
    <font>
      <name val="Calibri"/>
      <b val="1"/>
      <color rgb="001B5E20"/>
      <sz val="9"/>
    </font>
    <font>
      <name val="Calibri"/>
      <i val="1"/>
      <color rgb="000D47A1"/>
      <sz val="8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3B2407"/>
      <sz val="10"/>
    </font>
    <font>
      <name val="Calibri"/>
      <i val="1"/>
      <color rgb="00B71C1C"/>
      <sz val="8"/>
    </font>
    <font>
      <name val="Calibri"/>
      <b val="1"/>
      <color rgb="00B71C1C"/>
      <sz val="10"/>
    </font>
    <font>
      <name val="Calibri"/>
      <b val="1"/>
      <color rgb="001B5E20"/>
      <sz val="10"/>
    </font>
    <font>
      <name val="Calibri"/>
      <i val="1"/>
      <color rgb="001B5E20"/>
      <sz val="8"/>
    </font>
  </fonts>
  <fills count="11">
    <fill>
      <patternFill/>
    </fill>
    <fill>
      <patternFill patternType="gray125"/>
    </fill>
    <fill>
      <patternFill patternType="solid">
        <fgColor rgb="003B2407"/>
      </patternFill>
    </fill>
    <fill>
      <patternFill patternType="solid">
        <fgColor rgb="00D4A017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EDE8DF"/>
      </patternFill>
    </fill>
    <fill>
      <patternFill patternType="solid">
        <fgColor rgb="00FFFFFF"/>
      </patternFill>
    </fill>
    <fill>
      <patternFill patternType="solid">
        <fgColor rgb="00FDF8EF"/>
      </patternFill>
    </fill>
    <fill>
      <patternFill patternType="solid">
        <fgColor rgb="00FDF0C0"/>
      </patternFill>
    </fill>
    <fill>
      <patternFill patternType="solid">
        <fgColor rgb="00FFEBEE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666666"/>
      </left>
      <right style="medium">
        <color rgb="00666666"/>
      </right>
      <top style="medium">
        <color rgb="00666666"/>
      </top>
      <bottom style="medium">
        <color rgb="00666666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4" fontId="7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left" vertical="center" wrapText="1"/>
    </xf>
    <xf numFmtId="4" fontId="7" fillId="8" borderId="1" applyAlignment="1" pivotButton="0" quotePrefix="0" xfId="0">
      <alignment horizontal="right" vertical="center"/>
    </xf>
    <xf numFmtId="164" fontId="7" fillId="6" borderId="1" applyAlignment="1" pivotButton="0" quotePrefix="0" xfId="0">
      <alignment horizontal="right" vertical="center"/>
    </xf>
    <xf numFmtId="164" fontId="9" fillId="9" borderId="2" applyAlignment="1" pivotButton="0" quotePrefix="0" xfId="0">
      <alignment horizontal="right" vertical="center"/>
    </xf>
    <xf numFmtId="0" fontId="10" fillId="10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4" fontId="9" fillId="9" borderId="2" applyAlignment="1" pivotButton="0" quotePrefix="0" xfId="0">
      <alignment horizontal="right" vertical="center"/>
    </xf>
    <xf numFmtId="0" fontId="0" fillId="6" borderId="0" pivotButton="0" quotePrefix="0" xfId="0"/>
    <xf numFmtId="4" fontId="7" fillId="10" borderId="1" applyAlignment="1" pivotButton="0" quotePrefix="0" xfId="0">
      <alignment horizontal="right" vertical="center"/>
    </xf>
    <xf numFmtId="9" fontId="7" fillId="6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 wrapText="1"/>
    </xf>
    <xf numFmtId="9" fontId="7" fillId="8" borderId="1" applyAlignment="1" pivotButton="0" quotePrefix="0" xfId="0">
      <alignment horizontal="right" vertical="center"/>
    </xf>
    <xf numFmtId="1" fontId="7" fillId="8" borderId="1" applyAlignment="1" pivotButton="0" quotePrefix="0" xfId="0">
      <alignment horizontal="right" vertical="center"/>
    </xf>
    <xf numFmtId="165" fontId="7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9" fontId="7" fillId="7" borderId="1" applyAlignment="1" pivotButton="0" quotePrefix="0" xfId="0">
      <alignment horizontal="right" vertical="center"/>
    </xf>
    <xf numFmtId="1" fontId="7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0" fontId="9" fillId="9" borderId="0" applyAlignment="1" pivotButton="0" quotePrefix="0" xfId="0">
      <alignment horizontal="right" vertical="center"/>
    </xf>
    <xf numFmtId="0" fontId="0" fillId="9" borderId="2" pivotButton="0" quotePrefix="0" xfId="0"/>
    <xf numFmtId="0" fontId="9" fillId="3" borderId="0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8" fillId="10" borderId="1" applyAlignment="1" pivotButton="0" quotePrefix="0" xfId="0">
      <alignment horizontal="left" vertical="center" wrapText="1"/>
    </xf>
    <xf numFmtId="4" fontId="11" fillId="10" borderId="2" applyAlignment="1" pivotButton="0" quotePrefix="0" xfId="0">
      <alignment horizontal="right" vertical="center"/>
    </xf>
    <xf numFmtId="0" fontId="7" fillId="4" borderId="1" applyAlignment="1" pivotButton="0" quotePrefix="0" xfId="0">
      <alignment horizontal="left" vertical="center" wrapText="1"/>
    </xf>
    <xf numFmtId="4" fontId="7" fillId="4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 wrapText="1"/>
    </xf>
    <xf numFmtId="4" fontId="12" fillId="9" borderId="2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 wrapText="1"/>
    </xf>
    <xf numFmtId="164" fontId="7" fillId="5" borderId="1" applyAlignment="1" pivotButton="0" quotePrefix="0" xfId="0">
      <alignment horizontal="right" vertical="center"/>
    </xf>
    <xf numFmtId="4" fontId="12" fillId="4" borderId="2" applyAlignment="1" pivotButton="0" quotePrefix="0" xfId="0">
      <alignment horizontal="right" vertical="center"/>
    </xf>
    <xf numFmtId="0" fontId="13" fillId="4" borderId="0" applyAlignment="1" pivotButton="0" quotePrefix="0" xfId="0">
      <alignment horizontal="left" vertical="center" wrapText="1"/>
    </xf>
    <xf numFmtId="9" fontId="7" fillId="5" borderId="1" applyAlignment="1" pivotButton="0" quotePrefix="0" xfId="0">
      <alignment horizontal="right" vertical="center"/>
    </xf>
    <xf numFmtId="4" fontId="9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0" customWidth="1" min="3" max="3"/>
    <col width="44" customWidth="1" min="4" max="4"/>
  </cols>
  <sheetData>
    <row r="1" ht="22" customHeight="1">
      <c r="A1" s="1" t="inlineStr">
        <is>
          <t>Óleum Natura S.A. de C.V.  |  RFC: OLN  |  Tehuacán, Puebla — CBTIS 229</t>
        </is>
      </c>
    </row>
    <row r="2" ht="16" customHeight="1">
      <c r="A2" s="2" t="inlineStr">
        <is>
          <t>4°H Turno Vespertino  |  Especialidad: Contabilidad  |  Módulo: Personas Morales  |  Docente: C.P. Gabriela M.</t>
        </is>
      </c>
    </row>
    <row r="3" ht="28" customHeight="1">
      <c r="A3" s="3" t="inlineStr">
        <is>
          <t>CÉDULA 1 — COEFICIENTE DE UTILIDAD (CU) — Art. 14 LISR — Ejercicio 2026</t>
        </is>
      </c>
    </row>
    <row r="5" ht="22" customHeight="1">
      <c r="A5" s="4" t="inlineStr">
        <is>
          <t>📐 FÓRMULA: CU = (Utilidad Fiscal ejer. anterior + PTU pagada en el año) ÷ Ingresos Nominales ejer. anterior</t>
        </is>
      </c>
    </row>
    <row r="6" ht="28" customHeight="1">
      <c r="A6" s="5" t="inlineStr">
        <is>
          <t>El CU se obtiene con datos del ejercicio inmediato anterior (2025) y se aplica IGUAL en los 12 meses del ejercicio 2026 (Art. 14 LISR).</t>
        </is>
      </c>
    </row>
    <row r="7" ht="20" customHeight="1">
      <c r="A7" s="6" t="inlineStr">
        <is>
          <t>CONCEPTO</t>
        </is>
      </c>
      <c r="B7" s="6" t="inlineStr">
        <is>
          <t>EJERCICIO 2024</t>
        </is>
      </c>
      <c r="C7" s="6" t="inlineStr">
        <is>
          <t>EJERCICIO 2025</t>
        </is>
      </c>
      <c r="D7" s="6" t="inlineStr">
        <is>
          <t>RAZONAMIENTO</t>
        </is>
      </c>
    </row>
    <row r="8" ht="18" customHeight="1">
      <c r="A8" s="7" t="inlineStr">
        <is>
          <t>Ingresos Nominales del Ejercicio</t>
        </is>
      </c>
      <c r="B8" s="8" t="n">
        <v>3633450</v>
      </c>
      <c r="C8" s="8" t="n">
        <v>4863270.72</v>
      </c>
      <c r="D8" s="9" t="inlineStr">
        <is>
          <t>Suma de todos los ingresos gravados del año, sin IVA</t>
        </is>
      </c>
    </row>
    <row r="9" ht="18" customHeight="1">
      <c r="A9" s="7" t="inlineStr">
        <is>
          <t>Utilidad Fiscal del Ejercicio</t>
        </is>
      </c>
      <c r="B9" s="8" t="n">
        <v>958600</v>
      </c>
      <c r="C9" s="8" t="n">
        <v>1032600</v>
      </c>
      <c r="D9" s="9" t="inlineStr">
        <is>
          <t>Ingresos – Deducciones autorizadas – Depreciaciones actualizadas</t>
        </is>
      </c>
    </row>
    <row r="10" ht="18" customHeight="1">
      <c r="A10" s="7" t="inlineStr">
        <is>
          <t>(+) PTU pagada en el año</t>
        </is>
      </c>
      <c r="B10" s="8" t="n">
        <v>185600</v>
      </c>
      <c r="C10" s="8" t="n">
        <v>245600</v>
      </c>
      <c r="D10" s="9" t="inlineStr">
        <is>
          <t>PTU del ejercicio anterior pagada en mayo del año en curso</t>
        </is>
      </c>
    </row>
    <row r="11" ht="18" customHeight="1">
      <c r="A11" s="10">
        <f> Numerador CU (Utl + PTU)</f>
        <v/>
      </c>
      <c r="B11" s="11" t="n">
        <v>1144200</v>
      </c>
      <c r="C11" s="11" t="n">
        <v>1278200</v>
      </c>
      <c r="D11" s="12" t="inlineStr">
        <is>
          <t>Numerador de la fórmula del CU</t>
        </is>
      </c>
    </row>
    <row r="12" ht="18" customHeight="1">
      <c r="A12" s="9" t="inlineStr">
        <is>
          <t>÷ Ingresos Nominales del Ejercicio (denominador)</t>
        </is>
      </c>
      <c r="B12" s="13" t="n">
        <v>3633450</v>
      </c>
      <c r="C12" s="13" t="n">
        <v>4863270.72</v>
      </c>
      <c r="D12" s="9" t="inlineStr">
        <is>
          <t>Denominador</t>
        </is>
      </c>
    </row>
    <row r="13" ht="18" customHeight="1">
      <c r="A13" s="7">
        <f> CU CALCULADO</f>
        <v/>
      </c>
      <c r="B13" s="14" t="n">
        <v>0.3149</v>
      </c>
      <c r="C13" s="14" t="n">
        <v>0.2628</v>
      </c>
      <c r="D13" s="7" t="inlineStr">
        <is>
          <t>Resultado antes de redondear a 4 decimales</t>
        </is>
      </c>
    </row>
    <row r="14" ht="20" customHeight="1">
      <c r="A14" s="10" t="inlineStr">
        <is>
          <t>✅  CU APLICABLE 2026 (redondeado a 4 dec.)</t>
        </is>
      </c>
      <c r="B14" s="14" t="n">
        <v>0.3149</v>
      </c>
      <c r="C14" s="15" t="n">
        <v>0.263</v>
      </c>
      <c r="D14" s="12" t="inlineStr">
        <is>
          <t>CU 2026 = 0.2630 — mismo para los 12 meses</t>
        </is>
      </c>
    </row>
    <row r="16" ht="22" customHeight="1">
      <c r="A16" s="4" t="inlineStr">
        <is>
          <t>✅ CU 2026 = (1,032,600 + 245,600) ÷ 4,863,270.72 = 1,278,200 ÷ 4,863,270.72 = 0.2630</t>
        </is>
      </c>
    </row>
    <row r="17" ht="28" customHeight="1">
      <c r="A17" s="16" t="inlineStr">
        <is>
          <t>⚠ Si no hay datos del ejercicio anterior, el SAT puede autorizar un CU provisional o aplicar lo que disponga Art. 14 LISR pár. 6.</t>
        </is>
      </c>
    </row>
  </sheetData>
  <mergeCells count="7">
    <mergeCell ref="A1:D1"/>
    <mergeCell ref="A5:D5"/>
    <mergeCell ref="A17:D17"/>
    <mergeCell ref="A6:D6"/>
    <mergeCell ref="A3:D3"/>
    <mergeCell ref="A2:D2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22" customHeight="1">
      <c r="A1" s="1" t="inlineStr">
        <is>
          <t>Óleum Natura S.A. de C.V.  |  RFC: OLN  |  Tehuacán, Puebla — CBTIS 229</t>
        </is>
      </c>
    </row>
    <row r="2" ht="16" customHeight="1">
      <c r="A2" s="2" t="inlineStr">
        <is>
          <t>4°H Turno Vespertino  |  Especialidad: Contabilidad  |  Módulo: Personas Morales  |  Docente: C.P. Gabriela M.</t>
        </is>
      </c>
    </row>
    <row r="3" ht="28" customHeight="1">
      <c r="A3" s="3" t="inlineStr">
        <is>
          <t>CÉDULA 2 — PAGOS PROVISIONALES DE ISR — Art. 14 LISR — Ejercicio 2026</t>
        </is>
      </c>
    </row>
    <row r="5" ht="22" customHeight="1">
      <c r="A5" s="4" t="inlineStr">
        <is>
          <t>📐 FÓRMULA: Ingresos Acum × CU(0.2630) − PTU ded.(desde mayo) = Base Gravable → × 30% = ISR Acum → − ISR pagado meses ant. = Pago del mes</t>
        </is>
      </c>
    </row>
    <row r="6" ht="28" customHeight="1">
      <c r="A6" s="5" t="inlineStr">
        <is>
          <t>CU=0.2630 | PTU 2025 deducible desde MAYO 2026 ($245,600) | Tasa ISR Art.9=30% | Límite pago: día 17 mes siguiente</t>
        </is>
      </c>
    </row>
    <row r="7" ht="30" customHeight="1">
      <c r="A7" s="6" t="inlineStr">
        <is>
          <t>CONCEPTO</t>
        </is>
      </c>
      <c r="B7" s="6" t="inlineStr">
        <is>
          <t>Enero</t>
        </is>
      </c>
      <c r="C7" s="6" t="inlineStr">
        <is>
          <t>Febrero</t>
        </is>
      </c>
      <c r="D7" s="6" t="inlineStr">
        <is>
          <t>Marzo</t>
        </is>
      </c>
      <c r="E7" s="6" t="inlineStr">
        <is>
          <t>Abril</t>
        </is>
      </c>
      <c r="F7" s="6" t="inlineStr">
        <is>
          <t>Mayo</t>
        </is>
      </c>
      <c r="G7" s="6" t="inlineStr">
        <is>
          <t>Junio</t>
        </is>
      </c>
      <c r="H7" s="6" t="inlineStr">
        <is>
          <t>Julio</t>
        </is>
      </c>
      <c r="I7" s="6" t="inlineStr">
        <is>
          <t>Agosto</t>
        </is>
      </c>
      <c r="J7" s="6" t="inlineStr">
        <is>
          <t>Septiembre</t>
        </is>
      </c>
      <c r="K7" s="6" t="inlineStr">
        <is>
          <t>Octubre</t>
        </is>
      </c>
      <c r="L7" s="6" t="inlineStr">
        <is>
          <t>Noviembre</t>
        </is>
      </c>
      <c r="M7" s="6" t="inlineStr">
        <is>
          <t>Diciembre</t>
        </is>
      </c>
      <c r="N7" s="17" t="inlineStr">
        <is>
          <t>ANUAL</t>
        </is>
      </c>
    </row>
    <row r="8" ht="18" customHeight="1">
      <c r="A8" s="7" t="inlineStr">
        <is>
          <t>Ingresos nominales del periodo</t>
        </is>
      </c>
      <c r="B8" s="8" t="n">
        <v>1850326</v>
      </c>
      <c r="C8" s="8" t="n">
        <v>2035358.6</v>
      </c>
      <c r="D8" s="8" t="n">
        <v>2238894.46</v>
      </c>
      <c r="E8" s="8" t="n">
        <v>2462783.91</v>
      </c>
      <c r="F8" s="8" t="n">
        <v>2709062.3</v>
      </c>
      <c r="G8" s="8" t="n">
        <v>2979968.53</v>
      </c>
      <c r="H8" s="8" t="n">
        <v>3277965.38</v>
      </c>
      <c r="I8" s="8" t="n">
        <v>3605761.92</v>
      </c>
      <c r="J8" s="8" t="n">
        <v>3966338.11</v>
      </c>
      <c r="K8" s="8" t="n">
        <v>4362971.92</v>
      </c>
      <c r="L8" s="8" t="n">
        <v>4799269.11</v>
      </c>
      <c r="M8" s="8" t="n">
        <v>5279196.02</v>
      </c>
      <c r="N8" s="18" t="n">
        <v>39567896.26</v>
      </c>
    </row>
    <row r="9" ht="18" customHeight="1">
      <c r="A9" s="7" t="inlineStr">
        <is>
          <t>Ingresos acumulados del periodo</t>
        </is>
      </c>
      <c r="B9" s="13" t="n">
        <v>1850326</v>
      </c>
      <c r="C9" s="13" t="n">
        <v>3885684.6</v>
      </c>
      <c r="D9" s="13" t="n">
        <v>6124579.06</v>
      </c>
      <c r="E9" s="13" t="n">
        <v>8587362.970000001</v>
      </c>
      <c r="F9" s="13" t="n">
        <v>11296425.27</v>
      </c>
      <c r="G9" s="13" t="n">
        <v>14276393.8</v>
      </c>
      <c r="H9" s="13" t="n">
        <v>17554359.18</v>
      </c>
      <c r="I9" s="13" t="n">
        <v>21160121.1</v>
      </c>
      <c r="J9" s="13" t="n">
        <v>25126459.21</v>
      </c>
      <c r="K9" s="13" t="n">
        <v>29489431.13</v>
      </c>
      <c r="L9" s="13" t="n">
        <v>34288700.24</v>
      </c>
      <c r="M9" s="13" t="n">
        <v>39567896.26</v>
      </c>
      <c r="N9" s="18" t="n">
        <v>39567896.26</v>
      </c>
    </row>
    <row r="10" ht="18" customHeight="1">
      <c r="A10" s="7" t="inlineStr">
        <is>
          <t>× Coeficiente de Utilidad (CU = 0.2630)</t>
        </is>
      </c>
      <c r="B10" s="14" t="n">
        <v>0.263</v>
      </c>
      <c r="C10" s="14" t="n">
        <v>0.263</v>
      </c>
      <c r="D10" s="14" t="n">
        <v>0.263</v>
      </c>
      <c r="E10" s="14" t="n">
        <v>0.263</v>
      </c>
      <c r="F10" s="14" t="n">
        <v>0.263</v>
      </c>
      <c r="G10" s="14" t="n">
        <v>0.263</v>
      </c>
      <c r="H10" s="14" t="n">
        <v>0.263</v>
      </c>
      <c r="I10" s="14" t="n">
        <v>0.263</v>
      </c>
      <c r="J10" s="14" t="n">
        <v>0.263</v>
      </c>
      <c r="K10" s="14" t="n">
        <v>0.263</v>
      </c>
      <c r="L10" s="14" t="n">
        <v>0.263</v>
      </c>
      <c r="M10" s="14" t="n">
        <v>0.263</v>
      </c>
      <c r="N10" s="19" t="n"/>
    </row>
    <row r="11" ht="18" customHeight="1">
      <c r="A11" s="7">
        <f> Utilidad fiscal estimada acumulada</f>
        <v/>
      </c>
      <c r="B11" s="13" t="n">
        <v>486635.74</v>
      </c>
      <c r="C11" s="13" t="n">
        <v>1021935.05</v>
      </c>
      <c r="D11" s="13" t="n">
        <v>1610764.29</v>
      </c>
      <c r="E11" s="13" t="n">
        <v>2258476.46</v>
      </c>
      <c r="F11" s="13" t="n">
        <v>2970959.85</v>
      </c>
      <c r="G11" s="13" t="n">
        <v>3754691.57</v>
      </c>
      <c r="H11" s="13" t="n">
        <v>4616796.46</v>
      </c>
      <c r="I11" s="13" t="n">
        <v>5565111.85</v>
      </c>
      <c r="J11" s="13" t="n">
        <v>6608258.77</v>
      </c>
      <c r="K11" s="13" t="n">
        <v>7755720.39</v>
      </c>
      <c r="L11" s="13" t="n">
        <v>9017928.16</v>
      </c>
      <c r="M11" s="13" t="n">
        <v>10406356.72</v>
      </c>
      <c r="N11" s="19" t="n"/>
    </row>
    <row r="12" ht="18" customHeight="1">
      <c r="A12" s="7" t="inlineStr">
        <is>
          <t>(–) PTU pagada acumulada (desde mayo)</t>
        </is>
      </c>
      <c r="B12" s="20" t="n">
        <v>0</v>
      </c>
      <c r="C12" s="20" t="n">
        <v>0</v>
      </c>
      <c r="D12" s="20" t="n">
        <v>0</v>
      </c>
      <c r="E12" s="20" t="n">
        <v>0</v>
      </c>
      <c r="F12" s="20" t="n">
        <v>245600</v>
      </c>
      <c r="G12" s="20" t="n">
        <v>245600</v>
      </c>
      <c r="H12" s="20" t="n">
        <v>245600</v>
      </c>
      <c r="I12" s="20" t="n">
        <v>245600</v>
      </c>
      <c r="J12" s="20" t="n">
        <v>245600</v>
      </c>
      <c r="K12" s="20" t="n">
        <v>245600</v>
      </c>
      <c r="L12" s="20" t="n">
        <v>245600</v>
      </c>
      <c r="M12" s="20" t="n">
        <v>245600</v>
      </c>
      <c r="N12" s="19" t="n"/>
    </row>
    <row r="13" ht="18" customHeight="1">
      <c r="A13" s="10">
        <f> BASE GRAVABLE acumulada</f>
        <v/>
      </c>
      <c r="B13" s="18" t="n">
        <v>486635.74</v>
      </c>
      <c r="C13" s="18" t="n">
        <v>1021935.05</v>
      </c>
      <c r="D13" s="18" t="n">
        <v>1610764.29</v>
      </c>
      <c r="E13" s="18" t="n">
        <v>2258476.46</v>
      </c>
      <c r="F13" s="18" t="n">
        <v>2725359.85</v>
      </c>
      <c r="G13" s="18" t="n">
        <v>3509091.57</v>
      </c>
      <c r="H13" s="18" t="n">
        <v>4371196.46</v>
      </c>
      <c r="I13" s="18" t="n">
        <v>5319511.85</v>
      </c>
      <c r="J13" s="18" t="n">
        <v>6362658.77</v>
      </c>
      <c r="K13" s="18" t="n">
        <v>7510120.39</v>
      </c>
      <c r="L13" s="18" t="n">
        <v>8772328.16</v>
      </c>
      <c r="M13" s="18" t="n">
        <v>10160756.72</v>
      </c>
      <c r="N13" s="18" t="n">
        <v>10160756.72</v>
      </c>
    </row>
    <row r="14" ht="18" customHeight="1">
      <c r="A14" s="7" t="inlineStr">
        <is>
          <t>× Tasa ISR Art. 9 LISR</t>
        </is>
      </c>
      <c r="B14" s="21" t="n">
        <v>0.3</v>
      </c>
      <c r="C14" s="21" t="n">
        <v>0.3</v>
      </c>
      <c r="D14" s="21" t="n">
        <v>0.3</v>
      </c>
      <c r="E14" s="21" t="n">
        <v>0.3</v>
      </c>
      <c r="F14" s="21" t="n">
        <v>0.3</v>
      </c>
      <c r="G14" s="21" t="n">
        <v>0.3</v>
      </c>
      <c r="H14" s="21" t="n">
        <v>0.3</v>
      </c>
      <c r="I14" s="21" t="n">
        <v>0.3</v>
      </c>
      <c r="J14" s="21" t="n">
        <v>0.3</v>
      </c>
      <c r="K14" s="21" t="n">
        <v>0.3</v>
      </c>
      <c r="L14" s="21" t="n">
        <v>0.3</v>
      </c>
      <c r="M14" s="21" t="n">
        <v>0.3</v>
      </c>
      <c r="N14" s="19" t="n"/>
    </row>
    <row r="15" ht="18" customHeight="1">
      <c r="A15" s="7">
        <f> ISR acumulado determinado</f>
        <v/>
      </c>
      <c r="B15" s="13" t="n">
        <v>145990.72</v>
      </c>
      <c r="C15" s="13" t="n">
        <v>306580.52</v>
      </c>
      <c r="D15" s="13" t="n">
        <v>483229.29</v>
      </c>
      <c r="E15" s="13" t="n">
        <v>677542.9399999999</v>
      </c>
      <c r="F15" s="13" t="n">
        <v>817607.95</v>
      </c>
      <c r="G15" s="13" t="n">
        <v>1052727.47</v>
      </c>
      <c r="H15" s="13" t="n">
        <v>1311358.94</v>
      </c>
      <c r="I15" s="13" t="n">
        <v>1595853.55</v>
      </c>
      <c r="J15" s="13" t="n">
        <v>1908797.63</v>
      </c>
      <c r="K15" s="13" t="n">
        <v>2253036.12</v>
      </c>
      <c r="L15" s="13" t="n">
        <v>2631698.45</v>
      </c>
      <c r="M15" s="13" t="n">
        <v>3048227.02</v>
      </c>
      <c r="N15" s="18" t="n">
        <v>3048227.02</v>
      </c>
    </row>
    <row r="16" ht="18" customHeight="1">
      <c r="A16" s="7" t="inlineStr">
        <is>
          <t>(–) ISR pagado en meses anteriores</t>
        </is>
      </c>
      <c r="B16" s="20" t="n">
        <v>0</v>
      </c>
      <c r="C16" s="20" t="n">
        <v>145990.72</v>
      </c>
      <c r="D16" s="20" t="n">
        <v>306580.52</v>
      </c>
      <c r="E16" s="20" t="n">
        <v>483229.29</v>
      </c>
      <c r="F16" s="20" t="n">
        <v>677542.9399999999</v>
      </c>
      <c r="G16" s="20" t="n">
        <v>817607.95</v>
      </c>
      <c r="H16" s="20" t="n">
        <v>1052727.47</v>
      </c>
      <c r="I16" s="20" t="n">
        <v>1311358.94</v>
      </c>
      <c r="J16" s="20" t="n">
        <v>1595853.55</v>
      </c>
      <c r="K16" s="20" t="n">
        <v>1908797.63</v>
      </c>
      <c r="L16" s="20" t="n">
        <v>2253036.12</v>
      </c>
      <c r="M16" s="20" t="n">
        <v>2631698.45</v>
      </c>
      <c r="N16" s="19" t="n"/>
    </row>
    <row r="17" ht="18" customHeight="1">
      <c r="A17" s="10">
        <f> PAGO PROVISIONAL DEL MES</f>
        <v/>
      </c>
      <c r="B17" s="18" t="n">
        <v>145990.72</v>
      </c>
      <c r="C17" s="18" t="n">
        <v>160589.8</v>
      </c>
      <c r="D17" s="18" t="n">
        <v>176648.77</v>
      </c>
      <c r="E17" s="18" t="n">
        <v>194313.65</v>
      </c>
      <c r="F17" s="18" t="n">
        <v>140065.01</v>
      </c>
      <c r="G17" s="18" t="n">
        <v>235119.52</v>
      </c>
      <c r="H17" s="18" t="n">
        <v>258631.47</v>
      </c>
      <c r="I17" s="18" t="n">
        <v>284494.61</v>
      </c>
      <c r="J17" s="18" t="n">
        <v>312944.08</v>
      </c>
      <c r="K17" s="18" t="n">
        <v>344238.49</v>
      </c>
      <c r="L17" s="18" t="n">
        <v>378662.33</v>
      </c>
      <c r="M17" s="18" t="n">
        <v>416528.57</v>
      </c>
      <c r="N17" s="18" t="n">
        <v>3048227.02</v>
      </c>
    </row>
    <row r="19" ht="28" customHeight="1">
      <c r="A19" s="5" t="inlineStr">
        <is>
          <t>✅ Suma pagos provisionales: $3,048,227.02 | Total plan (Cédula 6): $3,048,532.84 | Diferencia $305.82 = redondeo acumulado en CU mensual (ambos valores son correctos)</t>
        </is>
      </c>
    </row>
    <row r="20" ht="28" customHeight="1">
      <c r="A20" s="16" t="inlineStr">
        <is>
          <t>⚠ La PTU 2025 ($245,600) se vuelve deducible en MAYO 2026 — mes en que se pagó efectivamente. Enero–Abril no la incluyen en base gravable.</t>
        </is>
      </c>
    </row>
  </sheetData>
  <mergeCells count="7">
    <mergeCell ref="A3:N3"/>
    <mergeCell ref="A6:N6"/>
    <mergeCell ref="A20:N20"/>
    <mergeCell ref="A2:N2"/>
    <mergeCell ref="A19:N19"/>
    <mergeCell ref="A5:N5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28" customWidth="1" min="3" max="3"/>
    <col width="14" customWidth="1" min="4" max="4"/>
    <col width="7" customWidth="1" min="5" max="5"/>
    <col width="14" customWidth="1" min="6" max="6"/>
    <col width="8" customWidth="1" min="7" max="7"/>
    <col width="12" customWidth="1" min="8" max="8"/>
    <col width="7" customWidth="1" min="9" max="9"/>
    <col width="14" customWidth="1" min="10" max="10"/>
    <col width="9" customWidth="1" min="11" max="11"/>
    <col width="9" customWidth="1" min="12" max="12"/>
    <col width="9" customWidth="1" min="13" max="13"/>
    <col width="15" customWidth="1" min="14" max="14"/>
  </cols>
  <sheetData>
    <row r="1" ht="22" customHeight="1">
      <c r="A1" s="1" t="inlineStr">
        <is>
          <t>Óleum Natura S.A. de C.V.  |  RFC: OLN  |  Tehuacán, Puebla — CBTIS 229</t>
        </is>
      </c>
    </row>
    <row r="2" ht="16" customHeight="1">
      <c r="A2" s="2" t="inlineStr">
        <is>
          <t>4°H Turno Vespertino  |  Especialidad: Contabilidad  |  Módulo: Personas Morales  |  Docente: C.P. Gabriela M.</t>
        </is>
      </c>
    </row>
    <row r="3" ht="28" customHeight="1">
      <c r="A3" s="3" t="inlineStr">
        <is>
          <t>CÉDULA 3 — DEPRECIACIONES ACTUALIZADAS — Arts. 31, 34 y 35 LISR — Ejercicio 2026</t>
        </is>
      </c>
    </row>
    <row r="5" ht="22" customHeight="1">
      <c r="A5" s="4" t="inlineStr">
        <is>
          <t>📐  Dep.Anual=MOI×Tasa  |  Dep.Mensual=Dep.Anual÷12  |  Dep.Histórica=Dep.Mensual×Meses uso  |  Factor=INPC Jun26÷INPC Adq.  |  Dep.Actualizada=Dep.Hist×Factor</t>
        </is>
      </c>
    </row>
    <row r="6" ht="28" customHeight="1">
      <c r="A6" s="5" t="inlineStr">
        <is>
          <t>INPC Junio 2026=146.910 (último mes 1ª mitad del ejercicio, Art.6 LISR). Art.34: Vehículos 25% · Radio 25% · Mobiliario 10%. Art.35: Cómputo 30%.</t>
        </is>
      </c>
    </row>
    <row r="7" ht="40" customHeight="1">
      <c r="A7" s="6" t="inlineStr">
        <is>
          <t>Fecha
Adq.</t>
        </is>
      </c>
      <c r="B7" s="6" t="inlineStr">
        <is>
          <t>Días
Uso</t>
        </is>
      </c>
      <c r="C7" s="6" t="inlineStr">
        <is>
          <t>Bien / Activo</t>
        </is>
      </c>
      <c r="D7" s="6" t="inlineStr">
        <is>
          <t>MOI
(Costo)</t>
        </is>
      </c>
      <c r="E7" s="6" t="inlineStr">
        <is>
          <t>Tasa
LISR</t>
        </is>
      </c>
      <c r="F7" s="6" t="inlineStr">
        <is>
          <t>Dep.
Anual</t>
        </is>
      </c>
      <c r="G7" s="6" t="inlineStr">
        <is>
          <t>Meses
Ejercicio</t>
        </is>
      </c>
      <c r="H7" s="6" t="inlineStr">
        <is>
          <t>Dep.
Mensual</t>
        </is>
      </c>
      <c r="I7" s="6" t="inlineStr">
        <is>
          <t>Meses
de Uso</t>
        </is>
      </c>
      <c r="J7" s="6" t="inlineStr">
        <is>
          <t>Dep.
Histórica</t>
        </is>
      </c>
      <c r="K7" s="6" t="inlineStr">
        <is>
          <t>INPC
Adq.</t>
        </is>
      </c>
      <c r="L7" s="6" t="inlineStr">
        <is>
          <t>INPC
Jun 26</t>
        </is>
      </c>
      <c r="M7" s="6" t="inlineStr">
        <is>
          <t>Factor
Actz.</t>
        </is>
      </c>
      <c r="N7" s="6" t="inlineStr">
        <is>
          <t>Dep.
Actualizada</t>
        </is>
      </c>
    </row>
    <row r="8" ht="18" customHeight="1">
      <c r="A8" s="22" t="inlineStr">
        <is>
          <t>14/03/2024</t>
        </is>
      </c>
      <c r="B8" s="22" t="n">
        <v>1825</v>
      </c>
      <c r="C8" s="9" t="inlineStr">
        <is>
          <t>Camioneta marca Ford</t>
        </is>
      </c>
      <c r="D8" s="13" t="n">
        <v>458600</v>
      </c>
      <c r="E8" s="23" t="n">
        <v>0.25</v>
      </c>
      <c r="F8" s="13" t="n">
        <v>114650</v>
      </c>
      <c r="G8" s="24" t="n">
        <v>12</v>
      </c>
      <c r="H8" s="13" t="n">
        <v>9554.17</v>
      </c>
      <c r="I8" s="24" t="n">
        <v>12</v>
      </c>
      <c r="J8" s="13" t="n">
        <v>114650.04</v>
      </c>
      <c r="K8" s="25" t="n">
        <v>132.85</v>
      </c>
      <c r="L8" s="25" t="n">
        <v>146.91</v>
      </c>
      <c r="M8" s="26" t="n">
        <v>1.1058</v>
      </c>
      <c r="N8" s="13" t="n">
        <v>126780.01</v>
      </c>
    </row>
    <row r="9" ht="18" customHeight="1">
      <c r="A9" s="27" t="inlineStr">
        <is>
          <t>18/09/2024</t>
        </is>
      </c>
      <c r="B9" s="27" t="n">
        <v>1236</v>
      </c>
      <c r="C9" s="28" t="inlineStr">
        <is>
          <t>LAPTOP MAC</t>
        </is>
      </c>
      <c r="D9" s="8" t="n">
        <v>135820</v>
      </c>
      <c r="E9" s="29" t="n">
        <v>0.3</v>
      </c>
      <c r="F9" s="8" t="n">
        <v>40746</v>
      </c>
      <c r="G9" s="30" t="n">
        <v>12</v>
      </c>
      <c r="H9" s="8" t="n">
        <v>3395.5</v>
      </c>
      <c r="I9" s="30" t="n">
        <v>12</v>
      </c>
      <c r="J9" s="8" t="n">
        <v>40746</v>
      </c>
      <c r="K9" s="31" t="n">
        <v>135.48</v>
      </c>
      <c r="L9" s="31" t="n">
        <v>146.91</v>
      </c>
      <c r="M9" s="32" t="n">
        <v>1.0844</v>
      </c>
      <c r="N9" s="8" t="n">
        <v>44184.96</v>
      </c>
    </row>
    <row r="10" ht="18" customHeight="1">
      <c r="A10" s="22" t="inlineStr">
        <is>
          <t>12/02/2025</t>
        </is>
      </c>
      <c r="B10" s="22" t="n">
        <v>745</v>
      </c>
      <c r="C10" s="9" t="inlineStr">
        <is>
          <t>Radio de comunicación</t>
        </is>
      </c>
      <c r="D10" s="13" t="n">
        <v>86742</v>
      </c>
      <c r="E10" s="23" t="n">
        <v>0.25</v>
      </c>
      <c r="F10" s="13" t="n">
        <v>21685.5</v>
      </c>
      <c r="G10" s="24" t="n">
        <v>12</v>
      </c>
      <c r="H10" s="13" t="n">
        <v>1807.12</v>
      </c>
      <c r="I10" s="24" t="n">
        <v>12</v>
      </c>
      <c r="J10" s="13" t="n">
        <v>21685.44</v>
      </c>
      <c r="K10" s="25" t="n">
        <v>137.82</v>
      </c>
      <c r="L10" s="25" t="n">
        <v>146.91</v>
      </c>
      <c r="M10" s="26" t="n">
        <v>1.066</v>
      </c>
      <c r="N10" s="13" t="n">
        <v>23116.68</v>
      </c>
    </row>
    <row r="11" ht="18" customHeight="1">
      <c r="A11" s="27" t="inlineStr">
        <is>
          <t>15/04/2025</t>
        </is>
      </c>
      <c r="B11" s="27" t="n">
        <v>1236</v>
      </c>
      <c r="C11" s="28" t="inlineStr">
        <is>
          <t>Escritorio, archivero y librero</t>
        </is>
      </c>
      <c r="D11" s="8" t="n">
        <v>45830</v>
      </c>
      <c r="E11" s="29" t="n">
        <v>0.1</v>
      </c>
      <c r="F11" s="8" t="n">
        <v>4583</v>
      </c>
      <c r="G11" s="30" t="n">
        <v>12</v>
      </c>
      <c r="H11" s="8" t="n">
        <v>381.92</v>
      </c>
      <c r="I11" s="30" t="n">
        <v>12</v>
      </c>
      <c r="J11" s="8" t="n">
        <v>4583.04</v>
      </c>
      <c r="K11" s="31" t="n">
        <v>138.96</v>
      </c>
      <c r="L11" s="31" t="n">
        <v>146.91</v>
      </c>
      <c r="M11" s="32" t="n">
        <v>1.0572</v>
      </c>
      <c r="N11" s="8" t="n">
        <v>4845.19</v>
      </c>
    </row>
    <row r="12" ht="18" customHeight="1">
      <c r="A12" s="22" t="inlineStr">
        <is>
          <t>14/05/2026</t>
        </is>
      </c>
      <c r="B12" s="22" t="n">
        <v>1369</v>
      </c>
      <c r="C12" s="9" t="inlineStr">
        <is>
          <t>Camioneta Frontier</t>
        </is>
      </c>
      <c r="D12" s="13" t="n">
        <v>650900</v>
      </c>
      <c r="E12" s="23" t="n">
        <v>0.25</v>
      </c>
      <c r="F12" s="13" t="n">
        <v>162725</v>
      </c>
      <c r="G12" s="24" t="n">
        <v>12</v>
      </c>
      <c r="H12" s="13" t="n">
        <v>13560.42</v>
      </c>
      <c r="I12" s="24" t="n">
        <v>8</v>
      </c>
      <c r="J12" s="13" t="n">
        <v>108483.36</v>
      </c>
      <c r="K12" s="25" t="n">
        <v>145.955</v>
      </c>
      <c r="L12" s="25" t="n">
        <v>146.91</v>
      </c>
      <c r="M12" s="26" t="n">
        <v>1.0065</v>
      </c>
      <c r="N12" s="13" t="n">
        <v>109188.5</v>
      </c>
    </row>
    <row r="13" ht="20" customHeight="1">
      <c r="A13" s="33" t="inlineStr">
        <is>
          <t>TOTALES</t>
        </is>
      </c>
      <c r="J13" s="18" t="n">
        <v>290147.88</v>
      </c>
      <c r="K13" s="34" t="n"/>
      <c r="L13" s="34" t="n"/>
      <c r="M13" s="34" t="n"/>
      <c r="N13" s="18" t="n">
        <v>308115.34</v>
      </c>
    </row>
    <row r="15" ht="22" customHeight="1">
      <c r="A15" s="4" t="inlineStr">
        <is>
          <t>✅ Dep.histórica: $290,147.88  |  Dep.actualizada: $308,115.34  |  Actualización inversiones (Cédula 5): $17,967.46</t>
        </is>
      </c>
    </row>
    <row r="16" ht="28" customHeight="1">
      <c r="A16" s="16" t="inlineStr">
        <is>
          <t>⚠ Frontier (14/05/2026, INPC adq=145.955): solo 8 meses (mayo–dic). Factor mínimo=1.0065 porque entre mayo y junio hubo poca inflación.</t>
        </is>
      </c>
    </row>
  </sheetData>
  <mergeCells count="8">
    <mergeCell ref="A3:N3"/>
    <mergeCell ref="A6:N6"/>
    <mergeCell ref="A13:I13"/>
    <mergeCell ref="A2:N2"/>
    <mergeCell ref="A16:N16"/>
    <mergeCell ref="A15:N15"/>
    <mergeCell ref="A5:N5"/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2" customWidth="1" min="14" max="14"/>
  </cols>
  <sheetData>
    <row r="1" ht="22" customHeight="1">
      <c r="A1" s="1" t="inlineStr">
        <is>
          <t>Óleum Natura S.A. de C.V.  |  RFC: OLN  |  Tehuacán, Puebla — CBTIS 229</t>
        </is>
      </c>
    </row>
    <row r="2" ht="16" customHeight="1">
      <c r="A2" s="2" t="inlineStr">
        <is>
          <t>4°H Turno Vespertino  |  Especialidad: Contabilidad  |  Módulo: Personas Morales  |  Docente: C.P. Gabriela M.</t>
        </is>
      </c>
    </row>
    <row r="3" ht="28" customHeight="1">
      <c r="A3" s="3" t="inlineStr">
        <is>
          <t>CÉDULA 4 — AJUSTE ANUAL POR INFLACIÓN — Art. 44 LISR — Ejercicio 2026</t>
        </is>
      </c>
    </row>
    <row r="5" ht="22" customHeight="1">
      <c r="A5" s="4" t="inlineStr">
        <is>
          <t>📐 (Prom.créditos − Prom.deudas) × Factor INPC = Ajuste  |  Factor=(147.882−141.2)÷141.2=0.0473</t>
        </is>
      </c>
    </row>
    <row r="6" ht="18" customHeight="1">
      <c r="A6" s="35" t="inlineStr">
        <is>
          <t>PARTE A — SALDO ANUAL DE CRÉDITOS (Art. 44 fracc. I)</t>
        </is>
      </c>
    </row>
    <row r="7" ht="20" customHeight="1">
      <c r="A7" s="6" t="inlineStr">
        <is>
          <t>CONCEPTO</t>
        </is>
      </c>
      <c r="B7" s="6" t="inlineStr">
        <is>
          <t>Enero</t>
        </is>
      </c>
      <c r="C7" s="6" t="inlineStr">
        <is>
          <t>Febrero</t>
        </is>
      </c>
      <c r="D7" s="6" t="inlineStr">
        <is>
          <t>Marzo</t>
        </is>
      </c>
      <c r="E7" s="6" t="inlineStr">
        <is>
          <t>Abril</t>
        </is>
      </c>
      <c r="F7" s="6" t="inlineStr">
        <is>
          <t>Mayo</t>
        </is>
      </c>
      <c r="G7" s="6" t="inlineStr">
        <is>
          <t>Junio</t>
        </is>
      </c>
      <c r="H7" s="6" t="inlineStr">
        <is>
          <t>Julio</t>
        </is>
      </c>
      <c r="I7" s="6" t="inlineStr">
        <is>
          <t>Agosto</t>
        </is>
      </c>
      <c r="J7" s="6" t="inlineStr">
        <is>
          <t>Septiembre</t>
        </is>
      </c>
      <c r="K7" s="6" t="inlineStr">
        <is>
          <t>Octubre</t>
        </is>
      </c>
      <c r="L7" s="6" t="inlineStr">
        <is>
          <t>Noviembre</t>
        </is>
      </c>
      <c r="M7" s="6" t="inlineStr">
        <is>
          <t>Diciembre</t>
        </is>
      </c>
      <c r="N7" s="17" t="inlineStr">
        <is>
          <t>SUMA ANUAL</t>
        </is>
      </c>
    </row>
    <row r="8" ht="16" customHeight="1">
      <c r="A8" s="7" t="inlineStr">
        <is>
          <t>Bancos</t>
        </is>
      </c>
      <c r="B8" s="13" t="n">
        <v>175890</v>
      </c>
      <c r="C8" s="13" t="n">
        <v>193479</v>
      </c>
      <c r="D8" s="13" t="n">
        <v>212827</v>
      </c>
      <c r="E8" s="13" t="n">
        <v>234110</v>
      </c>
      <c r="F8" s="13" t="n">
        <v>257521</v>
      </c>
      <c r="G8" s="13" t="n">
        <v>283273</v>
      </c>
      <c r="H8" s="13" t="n">
        <v>311600</v>
      </c>
      <c r="I8" s="13" t="n">
        <v>342760</v>
      </c>
      <c r="J8" s="13" t="n">
        <v>377036</v>
      </c>
      <c r="K8" s="13" t="n">
        <v>122745</v>
      </c>
      <c r="L8" s="13" t="n">
        <v>135020</v>
      </c>
      <c r="M8" s="13" t="n">
        <v>148521</v>
      </c>
      <c r="N8" s="13" t="n">
        <v>2794782</v>
      </c>
    </row>
    <row r="9" ht="16" customHeight="1">
      <c r="A9" s="7" t="inlineStr">
        <is>
          <t>Clientes</t>
        </is>
      </c>
      <c r="B9" s="13" t="n">
        <v>458600</v>
      </c>
      <c r="C9" s="13" t="n">
        <v>504460</v>
      </c>
      <c r="D9" s="13" t="n">
        <v>554906</v>
      </c>
      <c r="E9" s="13" t="n">
        <v>610397</v>
      </c>
      <c r="F9" s="13" t="n">
        <v>671436</v>
      </c>
      <c r="G9" s="13" t="n">
        <v>738580</v>
      </c>
      <c r="H9" s="13" t="n">
        <v>812438</v>
      </c>
      <c r="I9" s="13" t="n">
        <v>893682</v>
      </c>
      <c r="J9" s="13" t="n">
        <v>983050</v>
      </c>
      <c r="K9" s="13" t="n">
        <v>1081355</v>
      </c>
      <c r="L9" s="13" t="n">
        <v>1189490</v>
      </c>
      <c r="M9" s="13" t="n">
        <v>1308439</v>
      </c>
      <c r="N9" s="13" t="n">
        <v>9806833</v>
      </c>
    </row>
    <row r="10" ht="16" customHeight="1">
      <c r="A10" s="7" t="inlineStr">
        <is>
          <t>Deudores diversos</t>
        </is>
      </c>
      <c r="B10" s="13" t="n">
        <v>125600</v>
      </c>
      <c r="C10" s="13" t="n">
        <v>138160</v>
      </c>
      <c r="D10" s="13" t="n">
        <v>151976</v>
      </c>
      <c r="E10" s="13" t="n">
        <v>167174</v>
      </c>
      <c r="F10" s="13" t="n">
        <v>183891</v>
      </c>
      <c r="G10" s="13" t="n">
        <v>202280</v>
      </c>
      <c r="H10" s="13" t="n">
        <v>222508</v>
      </c>
      <c r="I10" s="13" t="n">
        <v>244759</v>
      </c>
      <c r="J10" s="13" t="n">
        <v>269235</v>
      </c>
      <c r="K10" s="13" t="n">
        <v>296158</v>
      </c>
      <c r="L10" s="13" t="n">
        <v>325774</v>
      </c>
      <c r="M10" s="13" t="n">
        <v>358351</v>
      </c>
      <c r="N10" s="13" t="n">
        <v>2685866</v>
      </c>
    </row>
    <row r="11" ht="16" customHeight="1">
      <c r="A11" s="7" t="inlineStr">
        <is>
          <t>Inversiones</t>
        </is>
      </c>
      <c r="B11" s="13" t="n">
        <v>250000</v>
      </c>
      <c r="C11" s="13" t="n">
        <v>275000</v>
      </c>
      <c r="D11" s="13" t="n">
        <v>302500</v>
      </c>
      <c r="E11" s="13" t="n">
        <v>332750</v>
      </c>
      <c r="F11" s="13" t="n">
        <v>366025</v>
      </c>
      <c r="G11" s="13" t="n">
        <v>402628</v>
      </c>
      <c r="H11" s="13" t="n">
        <v>442890</v>
      </c>
      <c r="I11" s="13" t="n">
        <v>487179</v>
      </c>
      <c r="J11" s="13" t="n">
        <v>535897</v>
      </c>
      <c r="K11" s="13" t="n">
        <v>589487</v>
      </c>
      <c r="L11" s="13" t="n">
        <v>648436</v>
      </c>
      <c r="M11" s="13" t="n">
        <v>713279</v>
      </c>
      <c r="N11" s="13" t="n">
        <v>5346071</v>
      </c>
    </row>
    <row r="12" ht="16" customHeight="1">
      <c r="A12" s="7" t="inlineStr">
        <is>
          <t>Saldos a favor</t>
        </is>
      </c>
      <c r="B12" s="13" t="n">
        <v>8500</v>
      </c>
      <c r="C12" s="13" t="n">
        <v>9350</v>
      </c>
      <c r="D12" s="13" t="n">
        <v>10285</v>
      </c>
      <c r="E12" s="13" t="n">
        <v>11314</v>
      </c>
      <c r="F12" s="13" t="n">
        <v>12445</v>
      </c>
      <c r="G12" s="13" t="n">
        <v>13689</v>
      </c>
      <c r="H12" s="13" t="n">
        <v>15058</v>
      </c>
      <c r="I12" s="13" t="n">
        <v>16564</v>
      </c>
      <c r="J12" s="13" t="n">
        <v>18221</v>
      </c>
      <c r="K12" s="13" t="n">
        <v>20043</v>
      </c>
      <c r="L12" s="13" t="n">
        <v>22047</v>
      </c>
      <c r="M12" s="13" t="n">
        <v>24251</v>
      </c>
      <c r="N12" s="13" t="n">
        <v>181767</v>
      </c>
    </row>
    <row r="13" ht="18" customHeight="1">
      <c r="A13" s="10" t="inlineStr">
        <is>
          <t>SUMA DE CRÉDITOS</t>
        </is>
      </c>
      <c r="B13" s="18" t="n">
        <v>1018590</v>
      </c>
      <c r="C13" s="18" t="n">
        <v>1120449</v>
      </c>
      <c r="D13" s="18" t="n">
        <v>1232494</v>
      </c>
      <c r="E13" s="18" t="n">
        <v>1355745</v>
      </c>
      <c r="F13" s="18" t="n">
        <v>1491318</v>
      </c>
      <c r="G13" s="18" t="n">
        <v>1640450</v>
      </c>
      <c r="H13" s="18" t="n">
        <v>1804494</v>
      </c>
      <c r="I13" s="18" t="n">
        <v>1984944</v>
      </c>
      <c r="J13" s="18" t="n">
        <v>2183439</v>
      </c>
      <c r="K13" s="18" t="n">
        <v>2109788</v>
      </c>
      <c r="L13" s="18" t="n">
        <v>2320767</v>
      </c>
      <c r="M13" s="18" t="n">
        <v>2552841</v>
      </c>
      <c r="N13" s="18" t="n">
        <v>20815319</v>
      </c>
    </row>
    <row r="14" ht="18" customHeight="1">
      <c r="A14" s="36" t="inlineStr">
        <is>
          <t>÷ 12 meses = PROMEDIO DE CRÉDITOS = $1,734,609.92</t>
        </is>
      </c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8" t="n"/>
      <c r="N14" s="18" t="n">
        <v>1734609.92</v>
      </c>
    </row>
    <row r="16" ht="18" customHeight="1">
      <c r="A16" s="35" t="inlineStr">
        <is>
          <t>PARTE B — SALDO ANUAL DE DEUDAS (Art. 44 fracc. II)</t>
        </is>
      </c>
    </row>
    <row r="17" ht="20" customHeight="1">
      <c r="A17" s="6" t="inlineStr">
        <is>
          <t>CONCEPTO</t>
        </is>
      </c>
      <c r="B17" s="6" t="inlineStr">
        <is>
          <t>Enero</t>
        </is>
      </c>
      <c r="C17" s="6" t="inlineStr">
        <is>
          <t>Febrero</t>
        </is>
      </c>
      <c r="D17" s="6" t="inlineStr">
        <is>
          <t>Marzo</t>
        </is>
      </c>
      <c r="E17" s="6" t="inlineStr">
        <is>
          <t>Abril</t>
        </is>
      </c>
      <c r="F17" s="6" t="inlineStr">
        <is>
          <t>Mayo</t>
        </is>
      </c>
      <c r="G17" s="6" t="inlineStr">
        <is>
          <t>Junio</t>
        </is>
      </c>
      <c r="H17" s="6" t="inlineStr">
        <is>
          <t>Julio</t>
        </is>
      </c>
      <c r="I17" s="6" t="inlineStr">
        <is>
          <t>Agosto</t>
        </is>
      </c>
      <c r="J17" s="6" t="inlineStr">
        <is>
          <t>Septiembre</t>
        </is>
      </c>
      <c r="K17" s="6" t="inlineStr">
        <is>
          <t>Octubre</t>
        </is>
      </c>
      <c r="L17" s="6" t="inlineStr">
        <is>
          <t>Noviembre</t>
        </is>
      </c>
      <c r="M17" s="6" t="inlineStr">
        <is>
          <t>Diciembre</t>
        </is>
      </c>
      <c r="N17" s="17" t="inlineStr">
        <is>
          <t>SUMA ANUAL</t>
        </is>
      </c>
    </row>
    <row r="18" ht="16" customHeight="1">
      <c r="A18" s="7" t="inlineStr">
        <is>
          <t>Proveedores</t>
        </is>
      </c>
      <c r="B18" s="20" t="n">
        <v>350600</v>
      </c>
      <c r="C18" s="20" t="n">
        <v>385660</v>
      </c>
      <c r="D18" s="20" t="n">
        <v>424226</v>
      </c>
      <c r="E18" s="20" t="n">
        <v>466649</v>
      </c>
      <c r="F18" s="20" t="n">
        <v>513313</v>
      </c>
      <c r="G18" s="20" t="n">
        <v>564645</v>
      </c>
      <c r="H18" s="20" t="n">
        <v>621109</v>
      </c>
      <c r="I18" s="20" t="n">
        <v>683220</v>
      </c>
      <c r="J18" s="20" t="n">
        <v>751542</v>
      </c>
      <c r="K18" s="20" t="n">
        <v>826696</v>
      </c>
      <c r="L18" s="20" t="n">
        <v>909366</v>
      </c>
      <c r="M18" s="20" t="n">
        <v>1000303</v>
      </c>
      <c r="N18" s="20" t="n">
        <v>7497329</v>
      </c>
    </row>
    <row r="19" ht="16" customHeight="1">
      <c r="A19" s="7" t="inlineStr">
        <is>
          <t>Acreedores diversos</t>
        </is>
      </c>
      <c r="B19" s="20" t="n">
        <v>125900</v>
      </c>
      <c r="C19" s="20" t="n">
        <v>138490</v>
      </c>
      <c r="D19" s="20" t="n">
        <v>152339</v>
      </c>
      <c r="E19" s="20" t="n">
        <v>167573</v>
      </c>
      <c r="F19" s="20" t="n">
        <v>184330</v>
      </c>
      <c r="G19" s="20" t="n">
        <v>202763</v>
      </c>
      <c r="H19" s="20" t="n">
        <v>223040</v>
      </c>
      <c r="I19" s="20" t="n">
        <v>245343</v>
      </c>
      <c r="J19" s="20" t="n">
        <v>269878</v>
      </c>
      <c r="K19" s="20" t="n">
        <v>296866</v>
      </c>
      <c r="L19" s="20" t="n">
        <v>326552</v>
      </c>
      <c r="M19" s="20" t="n">
        <v>359207</v>
      </c>
      <c r="N19" s="20" t="n">
        <v>2692281</v>
      </c>
    </row>
    <row r="20" ht="16" customHeight="1">
      <c r="A20" s="7" t="inlineStr">
        <is>
          <t>Acreedores hipotecarios</t>
        </is>
      </c>
      <c r="B20" s="20" t="n">
        <v>150000</v>
      </c>
      <c r="C20" s="20" t="n">
        <v>165000</v>
      </c>
      <c r="D20" s="20" t="n">
        <v>181500</v>
      </c>
      <c r="E20" s="20" t="n">
        <v>199650</v>
      </c>
      <c r="F20" s="20" t="n">
        <v>219615</v>
      </c>
      <c r="G20" s="20" t="n">
        <v>241577</v>
      </c>
      <c r="H20" s="20" t="n">
        <v>265734</v>
      </c>
      <c r="I20" s="20" t="n">
        <v>292308</v>
      </c>
      <c r="J20" s="20" t="n">
        <v>321538</v>
      </c>
      <c r="K20" s="20" t="n">
        <v>353692</v>
      </c>
      <c r="L20" s="20" t="n">
        <v>389061</v>
      </c>
      <c r="M20" s="20" t="n">
        <v>427968</v>
      </c>
      <c r="N20" s="20" t="n">
        <v>3207643</v>
      </c>
    </row>
    <row r="21" ht="16" customHeight="1">
      <c r="A21" s="7" t="inlineStr">
        <is>
          <t>Documentos por pagar</t>
        </is>
      </c>
      <c r="B21" s="20" t="n">
        <v>250000</v>
      </c>
      <c r="C21" s="20" t="n">
        <v>125000</v>
      </c>
      <c r="D21" s="20" t="n">
        <v>125000</v>
      </c>
      <c r="E21" s="20" t="n">
        <v>50000</v>
      </c>
      <c r="F21" s="20" t="n">
        <v>50000</v>
      </c>
      <c r="G21" s="20" t="n">
        <v>0</v>
      </c>
      <c r="H21" s="20" t="n">
        <v>0</v>
      </c>
      <c r="I21" s="20" t="n">
        <v>0</v>
      </c>
      <c r="J21" s="20" t="n">
        <v>0</v>
      </c>
      <c r="K21" s="20" t="n">
        <v>0</v>
      </c>
      <c r="L21" s="20" t="n">
        <v>0</v>
      </c>
      <c r="M21" s="20" t="n">
        <v>0</v>
      </c>
      <c r="N21" s="20" t="n">
        <v>600000</v>
      </c>
    </row>
    <row r="22" ht="16" customHeight="1">
      <c r="A22" s="7" t="inlineStr">
        <is>
          <t>Aportaciones fut. aum. capital</t>
        </is>
      </c>
      <c r="B22" s="20" t="n">
        <v>150000</v>
      </c>
      <c r="C22" s="20" t="n">
        <v>175800</v>
      </c>
      <c r="D22" s="20" t="n">
        <v>175800</v>
      </c>
      <c r="E22" s="20" t="n">
        <v>175800</v>
      </c>
      <c r="F22" s="20" t="n">
        <v>175800</v>
      </c>
      <c r="G22" s="20" t="n">
        <v>175800</v>
      </c>
      <c r="H22" s="20" t="n">
        <v>175800</v>
      </c>
      <c r="I22" s="20" t="n">
        <v>175800</v>
      </c>
      <c r="J22" s="20" t="n">
        <v>175800</v>
      </c>
      <c r="K22" s="20" t="n">
        <v>175800</v>
      </c>
      <c r="L22" s="20" t="n">
        <v>175800</v>
      </c>
      <c r="M22" s="20" t="n">
        <v>175800</v>
      </c>
      <c r="N22" s="20" t="n">
        <v>2083800</v>
      </c>
    </row>
    <row r="23" ht="18" customHeight="1">
      <c r="A23" s="10" t="inlineStr">
        <is>
          <t>SUMA DE DEUDAS</t>
        </is>
      </c>
      <c r="B23" s="18" t="n">
        <v>1026500</v>
      </c>
      <c r="C23" s="18" t="n">
        <v>989950</v>
      </c>
      <c r="D23" s="18" t="n">
        <v>1058865</v>
      </c>
      <c r="E23" s="18" t="n">
        <v>1059672</v>
      </c>
      <c r="F23" s="18" t="n">
        <v>1143058</v>
      </c>
      <c r="G23" s="18" t="n">
        <v>1184785</v>
      </c>
      <c r="H23" s="18" t="n">
        <v>1285683</v>
      </c>
      <c r="I23" s="18" t="n">
        <v>1396671</v>
      </c>
      <c r="J23" s="18" t="n">
        <v>1518758</v>
      </c>
      <c r="K23" s="18" t="n">
        <v>1653054</v>
      </c>
      <c r="L23" s="18" t="n">
        <v>1800779</v>
      </c>
      <c r="M23" s="18" t="n">
        <v>1963278</v>
      </c>
      <c r="N23" s="18" t="n">
        <v>16081053</v>
      </c>
    </row>
    <row r="24" ht="18" customHeight="1">
      <c r="A24" s="39" t="inlineStr">
        <is>
          <t>÷ 12 meses = PROMEDIO DE DEUDAS = $1,340,087.75</t>
        </is>
      </c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8" t="n"/>
      <c r="N24" s="40" t="n">
        <v>1340087.75</v>
      </c>
    </row>
    <row r="26" ht="18" customHeight="1">
      <c r="A26" s="35" t="inlineStr">
        <is>
          <t>PARTE C — DETERMINACIÓN DEL AJUSTE ANUAL</t>
        </is>
      </c>
    </row>
    <row r="27" ht="20" customHeight="1">
      <c r="A27" s="41" t="inlineStr">
        <is>
          <t>Promedio de créditos</t>
        </is>
      </c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8" t="n"/>
      <c r="N27" s="42" t="n">
        <v>1734609.92</v>
      </c>
    </row>
    <row r="28" ht="20" customHeight="1">
      <c r="A28" s="43" t="inlineStr">
        <is>
          <t>(–) Promedio de deudas</t>
        </is>
      </c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8" t="n"/>
      <c r="N28" s="20" t="n">
        <v>1340087.75</v>
      </c>
    </row>
    <row r="29" ht="20" customHeight="1">
      <c r="A29" s="10">
        <f> Diferencia (créditos &gt; deudas)</f>
        <v/>
      </c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8" t="n"/>
      <c r="N29" s="44" t="n">
        <v>394522.17</v>
      </c>
    </row>
    <row r="30" ht="20" customHeight="1">
      <c r="A30" s="45" t="inlineStr">
        <is>
          <t>(×) Factor INPC = (147.882−141.2)÷141.2</t>
        </is>
      </c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8" t="n"/>
      <c r="N30" s="46" t="n">
        <v>0.0473</v>
      </c>
    </row>
    <row r="31" ht="20" customHeight="1">
      <c r="A31" s="36">
        <f> AJUSTE ANUAL POR INFLACIÓN ACUMULABLE (INGRESO)</f>
        <v/>
      </c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8" t="n"/>
      <c r="N31" s="47" t="n">
        <v>18660.9</v>
      </c>
    </row>
    <row r="32" ht="20" customHeight="1">
      <c r="A32" s="28" t="inlineStr">
        <is>
          <t>Ajuste anual por inflación deducible (no aplica)</t>
        </is>
      </c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8" t="n"/>
      <c r="N32" s="8" t="n">
        <v>0</v>
      </c>
    </row>
    <row r="34" ht="28" customHeight="1">
      <c r="A34" s="48" t="inlineStr">
        <is>
          <t>✅ Prom.créditos($1,734,609.92) &gt; Prom.deudas($1,340,087.75) → Ajuste ACUMULABLE (ingreso) = $18,660.90. Se suma a ingresos en Cédula 6.</t>
        </is>
      </c>
    </row>
  </sheetData>
  <mergeCells count="16">
    <mergeCell ref="A28:M28"/>
    <mergeCell ref="A14:M14"/>
    <mergeCell ref="A3:N3"/>
    <mergeCell ref="A6:N6"/>
    <mergeCell ref="A34:N34"/>
    <mergeCell ref="A32:M32"/>
    <mergeCell ref="A27:M27"/>
    <mergeCell ref="A31:M31"/>
    <mergeCell ref="A26:N26"/>
    <mergeCell ref="A2:N2"/>
    <mergeCell ref="A16:N16"/>
    <mergeCell ref="A30:M30"/>
    <mergeCell ref="A29:M29"/>
    <mergeCell ref="A5:N5"/>
    <mergeCell ref="A24:M24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44" customWidth="1" min="3" max="3"/>
  </cols>
  <sheetData>
    <row r="1" ht="22" customHeight="1">
      <c r="A1" s="1" t="inlineStr">
        <is>
          <t>Óleum Natura S.A. de C.V.  |  RFC: OLN  |  Tehuacán, Puebla — CBTIS 229</t>
        </is>
      </c>
    </row>
    <row r="2" ht="16" customHeight="1">
      <c r="A2" s="2" t="inlineStr">
        <is>
          <t>4°H Turno Vespertino  |  Especialidad: Contabilidad  |  Módulo: Personas Morales  |  Docente: C.P. Gabriela M.</t>
        </is>
      </c>
    </row>
    <row r="3" ht="28" customHeight="1">
      <c r="A3" s="3" t="inlineStr">
        <is>
          <t>CÉDULA 5 — DETERMINACIÓN DE LA PTU — Art. 123 Constitucional + Art. 9 LISR — Ejercicio 2026</t>
        </is>
      </c>
    </row>
    <row r="5" ht="22" customHeight="1">
      <c r="A5" s="4" t="inlineStr">
        <is>
          <t>📐 FÓRMULA: (Utilidad fiscal + Actualización inversiones) − Ajuste acumulable = Base PTU → × 10% = PTU del ejercicio</t>
        </is>
      </c>
    </row>
    <row r="6" ht="28" customHeight="1">
      <c r="A6" s="5" t="inlineStr">
        <is>
          <t>Actualización de inversiones (Cédula 3)=diferencia dep.actualizada − dep.histórica. Ajuste acumulable (Cédula 4) se resta porque es ingreso ficticio por inflación.</t>
        </is>
      </c>
    </row>
    <row r="7" ht="20" customHeight="1">
      <c r="A7" s="6" t="inlineStr">
        <is>
          <t>CONCEPTO</t>
        </is>
      </c>
      <c r="B7" s="6" t="inlineStr">
        <is>
          <t>IMPORTE</t>
        </is>
      </c>
      <c r="C7" s="6" t="inlineStr">
        <is>
          <t>RAZONAMIENTO / ORIGEN</t>
        </is>
      </c>
    </row>
    <row r="8" ht="20" customHeight="1">
      <c r="A8" s="28" t="inlineStr">
        <is>
          <t>Utilidad fiscal del ejercicio (de Cédula 6)</t>
        </is>
      </c>
      <c r="B8" s="8" t="n">
        <v>10164971.29</v>
      </c>
      <c r="C8" s="9" t="inlineStr">
        <is>
          <t>Ingresos − Deducciones − Dep.actualizadas − PTU 2025 pagada</t>
        </is>
      </c>
    </row>
    <row r="9" ht="20" customHeight="1">
      <c r="A9" s="41" t="inlineStr">
        <is>
          <t>(+) Actualización de inversiones (Cédula 3)</t>
        </is>
      </c>
      <c r="B9" s="42" t="n">
        <v>17967.46</v>
      </c>
      <c r="C9" s="9" t="inlineStr">
        <is>
          <t>Dep.act.$308,115.34 − Dep.hist.$290,147.88 = $17,967.46</t>
        </is>
      </c>
    </row>
    <row r="10" ht="20" customHeight="1">
      <c r="A10" s="10">
        <f> Utilidad fiscal + Actualización</f>
        <v/>
      </c>
      <c r="B10" s="18" t="n">
        <v>10182938.75</v>
      </c>
      <c r="C10" s="12" t="inlineStr">
        <is>
          <t>Subtotal antes de restar ajuste inflación</t>
        </is>
      </c>
    </row>
    <row r="11" ht="20" customHeight="1">
      <c r="A11" s="43" t="inlineStr">
        <is>
          <t>(–) Ajuste anual por inflación acumulable (Cédula 4)</t>
        </is>
      </c>
      <c r="B11" s="20" t="n">
        <v>18660.9</v>
      </c>
      <c r="C11" s="9" t="inlineStr">
        <is>
          <t>$394,522.17 × Factor 0.0473 = $18,660.90</t>
        </is>
      </c>
    </row>
    <row r="12" ht="20" customHeight="1">
      <c r="A12" s="28" t="inlineStr">
        <is>
          <t>(+) Ajuste deducible (no aplica)</t>
        </is>
      </c>
      <c r="B12" s="8" t="n">
        <v>0</v>
      </c>
      <c r="C12" s="9" t="inlineStr">
        <is>
          <t>Créditos &gt; Deudas: no hay ajuste deducible</t>
        </is>
      </c>
    </row>
    <row r="13" ht="20" customHeight="1">
      <c r="A13" s="10">
        <f> BASE PARA PTU</f>
        <v/>
      </c>
      <c r="B13" s="18" t="n">
        <v>10164277.85</v>
      </c>
      <c r="C13" s="12" t="inlineStr">
        <is>
          <t>Base final sobre la que se calcula el 10%</t>
        </is>
      </c>
    </row>
    <row r="14" ht="20" customHeight="1">
      <c r="A14" s="45" t="inlineStr">
        <is>
          <t>(×) % PTU Art. 123 Constitucional</t>
        </is>
      </c>
      <c r="B14" s="49" t="n">
        <v>0.1</v>
      </c>
      <c r="C14" s="9" t="inlineStr">
        <is>
          <t>Tasa fija constitucional del 10%</t>
        </is>
      </c>
    </row>
    <row r="15" ht="20" customHeight="1">
      <c r="A15" s="36">
        <f> PTU EJERCICIO 2026</f>
        <v/>
      </c>
      <c r="B15" s="50" t="n">
        <v>1016427.79</v>
      </c>
      <c r="C15" s="41" t="inlineStr">
        <is>
          <t>Se distribuirá a trabajadores en mayo 2027</t>
        </is>
      </c>
    </row>
    <row r="17" ht="28" customHeight="1">
      <c r="A17" s="48" t="inlineStr">
        <is>
          <t>✅ PTU 2026 = $1,016,427.79  |  NOTA: Base PTU = Ingresos − Deducciones − Dep.HISTÓRICAS − PTU pagada (la actualización cancela exactamente con el ajuste por inflación).</t>
        </is>
      </c>
    </row>
    <row r="18" ht="28" customHeight="1">
      <c r="A18" s="16" t="inlineStr">
        <is>
          <t>⚠ PTU 2025 ($245,600) = pagada mayo 2026, ya deducida en pagos provisionales. PTU 2026 ($1,016,427.79) = se pagará mayo 2027.</t>
        </is>
      </c>
    </row>
  </sheetData>
  <mergeCells count="7">
    <mergeCell ref="A1:C1"/>
    <mergeCell ref="A5:C5"/>
    <mergeCell ref="A6:C6"/>
    <mergeCell ref="A17:C17"/>
    <mergeCell ref="A18:C18"/>
    <mergeCell ref="A3:C3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2" customWidth="1" min="1" max="1"/>
    <col width="22" customWidth="1" min="2" max="2"/>
    <col width="44" customWidth="1" min="3" max="3"/>
  </cols>
  <sheetData>
    <row r="1" ht="22" customHeight="1">
      <c r="A1" s="1" t="inlineStr">
        <is>
          <t>Óleum Natura S.A. de C.V.  |  RFC: OLN  |  Tehuacán, Puebla — CBTIS 229</t>
        </is>
      </c>
    </row>
    <row r="2" ht="16" customHeight="1">
      <c r="A2" s="2" t="inlineStr">
        <is>
          <t>4°H Turno Vespertino  |  Especialidad: Contabilidad  |  Módulo: Personas Morales  |  Docente: C.P. Gabriela M.</t>
        </is>
      </c>
    </row>
    <row r="3" ht="28" customHeight="1">
      <c r="A3" s="3" t="inlineStr">
        <is>
          <t>CÉDULA 6 — DETERMINACIÓN DEL ISR ANUAL — Art. 9 LISR — Ejercicio 2026</t>
        </is>
      </c>
    </row>
    <row r="5" ht="22" customHeight="1">
      <c r="A5" s="4" t="inlineStr">
        <is>
          <t>📐 (Ingresos + Aj.acum.) − Deducciones − Aj.ded. − Dep.act. = Resultado fiscal → − PTU pagada = Utilidad fiscal → × 30% = ISR → − Pagos prov. = ISR a enterar</t>
        </is>
      </c>
    </row>
    <row r="6" ht="28" customHeight="1">
      <c r="A6" s="5" t="inlineStr">
        <is>
          <t>Ingresos:$39,567,896.26 | Deducciones:$28,867,870.53 | Dep.act.:$308,115.34 | Ajuste acum.(Ced.4):$18,660.90 | PTU 2025:$245,600.00 | Tasa:30%</t>
        </is>
      </c>
    </row>
    <row r="7" ht="20" customHeight="1">
      <c r="A7" s="6" t="inlineStr">
        <is>
          <t>CONCEPTO</t>
        </is>
      </c>
      <c r="B7" s="6" t="inlineStr">
        <is>
          <t>IMPORTE</t>
        </is>
      </c>
      <c r="C7" s="6" t="inlineStr">
        <is>
          <t>RAZONAMIENTO / ORIGEN</t>
        </is>
      </c>
    </row>
    <row r="8" ht="20" customHeight="1">
      <c r="A8" s="28" t="inlineStr">
        <is>
          <t>Ingresos acumulables del ejercicio</t>
        </is>
      </c>
      <c r="B8" s="8" t="n">
        <v>39567896.26</v>
      </c>
      <c r="C8" s="9" t="inlineStr">
        <is>
          <t>Total ingresos nominales acumulados año 2026 (Cédula 2, diciembre)</t>
        </is>
      </c>
    </row>
    <row r="9" ht="20" customHeight="1">
      <c r="A9" s="41" t="inlineStr">
        <is>
          <t>(+) Ajuste inflación acumulable (Cédula 4)</t>
        </is>
      </c>
      <c r="B9" s="42" t="n">
        <v>18660.9</v>
      </c>
      <c r="C9" s="9" t="inlineStr">
        <is>
          <t>Prom.créditos &gt; deudas → ingreso acumulable $18,660.90</t>
        </is>
      </c>
    </row>
    <row r="10" ht="20" customHeight="1">
      <c r="A10" s="43" t="inlineStr">
        <is>
          <t>(–) Deducciones autorizadas</t>
        </is>
      </c>
      <c r="B10" s="20" t="n">
        <v>28867870.53</v>
      </c>
      <c r="C10" s="9" t="inlineStr">
        <is>
          <t>Gastos de operación debidamente comprobados y deducibles</t>
        </is>
      </c>
    </row>
    <row r="11" ht="20" customHeight="1">
      <c r="A11" s="28" t="inlineStr">
        <is>
          <t>(–) Ajuste inflación deducible</t>
        </is>
      </c>
      <c r="B11" s="8" t="n">
        <v>0</v>
      </c>
      <c r="C11" s="9" t="inlineStr">
        <is>
          <t>No aplica (créditos &gt; deudas en Cédula 4)</t>
        </is>
      </c>
    </row>
    <row r="12" ht="20" customHeight="1">
      <c r="A12" s="43" t="inlineStr">
        <is>
          <t>(–) Depreciaciones actualizadas (Cédula 3)</t>
        </is>
      </c>
      <c r="B12" s="20" t="n">
        <v>308115.34</v>
      </c>
      <c r="C12" s="9" t="inlineStr">
        <is>
          <t>5 activos INPC Jun 2026=146.91: total $308,115.34</t>
        </is>
      </c>
    </row>
    <row r="13" ht="20" customHeight="1">
      <c r="A13" s="10">
        <f> RESULTADO FISCAL</f>
        <v/>
      </c>
      <c r="B13" s="18" t="n">
        <v>10410571.34</v>
      </c>
      <c r="C13" s="12" t="inlineStr">
        <is>
          <t>Subtotal antes de restar PTU pagada</t>
        </is>
      </c>
    </row>
    <row r="14" ht="20" customHeight="1">
      <c r="A14" s="43" t="inlineStr">
        <is>
          <t>(–) PTU pagada en el ejercicio (20/05/2026)</t>
        </is>
      </c>
      <c r="B14" s="20" t="n">
        <v>245600</v>
      </c>
      <c r="C14" s="9" t="inlineStr">
        <is>
          <t>PTU 2025 pagada mayo 2026, deducible al presentarse (Art. 9)</t>
        </is>
      </c>
    </row>
    <row r="15" ht="20" customHeight="1">
      <c r="A15" s="10">
        <f> UTILIDAD FISCAL</f>
        <v/>
      </c>
      <c r="B15" s="18" t="n">
        <v>10164971.34</v>
      </c>
      <c r="C15" s="12" t="inlineStr">
        <is>
          <t>Base para determinar el ISR anual</t>
        </is>
      </c>
    </row>
    <row r="16" ht="20" customHeight="1">
      <c r="A16" s="28" t="inlineStr">
        <is>
          <t>(–) Pérdidas fiscales actualizadas ejercicios anteriores</t>
        </is>
      </c>
      <c r="B16" s="8" t="n">
        <v>0</v>
      </c>
      <c r="C16" s="9" t="inlineStr">
        <is>
          <t>No hay pérdidas pendientes de amortizar</t>
        </is>
      </c>
    </row>
    <row r="17" ht="20" customHeight="1">
      <c r="A17" s="10">
        <f> RESULTADO FISCAL (base del impuesto)</f>
        <v/>
      </c>
      <c r="B17" s="18" t="n">
        <v>10164971.34</v>
      </c>
      <c r="C17" s="12" t="inlineStr">
        <is>
          <t>Igual a utilidad fiscal (sin pérdidas que amortizar)</t>
        </is>
      </c>
    </row>
    <row r="18" ht="20" customHeight="1">
      <c r="A18" s="45" t="inlineStr">
        <is>
          <t>(×) Tasa del Art. 9 LISR</t>
        </is>
      </c>
      <c r="B18" s="49" t="n">
        <v>0.3</v>
      </c>
      <c r="C18" s="9" t="inlineStr">
        <is>
          <t>30% — Tasa fija para personas morales del régimen general</t>
        </is>
      </c>
    </row>
    <row r="19" ht="20" customHeight="1">
      <c r="A19" s="10">
        <f> IMPUESTO ANUAL ISR DETERMINADO</f>
        <v/>
      </c>
      <c r="B19" s="18" t="n">
        <v>3049491.4</v>
      </c>
      <c r="C19" s="12" t="inlineStr">
        <is>
          <t>ISR total del ejercicio 2026</t>
        </is>
      </c>
    </row>
    <row r="20" ht="20" customHeight="1">
      <c r="A20" s="43" t="inlineStr">
        <is>
          <t>(–) Pagos provisionales ISR acumulados (Cédula 2)</t>
        </is>
      </c>
      <c r="B20" s="20" t="n">
        <v>3048532.84</v>
      </c>
      <c r="C20" s="9" t="inlineStr">
        <is>
          <t>Suma de los 12 pagos mensuales enterados al SAT</t>
        </is>
      </c>
    </row>
    <row r="21" ht="20" customHeight="1">
      <c r="A21" s="36">
        <f> ISR ANUAL A ENTERAR (saldo a cargo)</f>
        <v/>
      </c>
      <c r="B21" s="47" t="n">
        <v>958.5599999999999</v>
      </c>
      <c r="C21" s="41" t="inlineStr">
        <is>
          <t>Se paga en la declaración anual (marzo 2027)</t>
        </is>
      </c>
    </row>
    <row r="23" ht="28" customHeight="1">
      <c r="A23" s="48" t="inlineStr">
        <is>
          <t>✅ ISR anual:$3,049,491.40 | Pagos prov.:$3,048,532.84 | ISR a enterar:$958.56 (INPC reales docente: Jun=146.91, Dic=147.882)</t>
        </is>
      </c>
    </row>
    <row r="24" ht="28" customHeight="1">
      <c r="A24" s="5" t="inlineStr">
        <is>
          <t>⚠ ISR a enterar ($958.55) = saldo a CARGO. Pagos prov. quedaron ligeramente por debajo del ISR anual real. Se entera en declaración anual Art. 9 LISR (marzo 2027).</t>
        </is>
      </c>
    </row>
  </sheetData>
  <mergeCells count="7">
    <mergeCell ref="A1:C1"/>
    <mergeCell ref="A5:C5"/>
    <mergeCell ref="A23:C23"/>
    <mergeCell ref="A6:C6"/>
    <mergeCell ref="A3:C3"/>
    <mergeCell ref="A24:C24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2026-05-27T23:15:21Z</dcterms:created>
  <dcterms:modified xsi:type="dcterms:W3CDTF">2026-05-27T23:15:21Z</dcterms:modified>
</cp:coreProperties>
</file>